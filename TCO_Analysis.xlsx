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280" windowHeight="11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<sst xmlns="http://schemas.openxmlformats.org/spreadsheetml/2006/main" count="77" uniqueCount="56">
  <si>
    <t>TCO ANALYSIS - PRINTER COMPARISON</t>
  </si>
  <si>
    <t>CALUCULATING CONSUMPTION</t>
  </si>
  <si>
    <t>Condition</t>
  </si>
  <si>
    <t>Value</t>
  </si>
  <si>
    <t>Unit</t>
  </si>
  <si>
    <t>Remarks</t>
  </si>
  <si>
    <t>Period to consider</t>
  </si>
  <si>
    <t>Year</t>
  </si>
  <si>
    <t>Printing per week</t>
  </si>
  <si>
    <t>Pages/week</t>
  </si>
  <si>
    <t>Power on per week</t>
  </si>
  <si>
    <t>Hours/week</t>
  </si>
  <si>
    <t>Electrical Cost</t>
  </si>
  <si>
    <t>Cents/week</t>
  </si>
  <si>
    <t>Reams 500 papers</t>
  </si>
  <si>
    <t>SGD/Reams</t>
  </si>
  <si>
    <t>SP Group</t>
  </si>
  <si>
    <t>Week Per Year</t>
  </si>
  <si>
    <t>Week</t>
  </si>
  <si>
    <t>Total pages</t>
  </si>
  <si>
    <t>Pages</t>
  </si>
  <si>
    <t>750*52*5</t>
  </si>
  <si>
    <t>PRINTER A | HP LaserJet MFP M42523dn</t>
  </si>
  <si>
    <t>Item</t>
  </si>
  <si>
    <t>Type</t>
  </si>
  <si>
    <t>Unit $</t>
  </si>
  <si>
    <t>Units consumed</t>
  </si>
  <si>
    <t>Total Cost (SGD)</t>
  </si>
  <si>
    <t>Source/Remarks</t>
  </si>
  <si>
    <t>Pinter</t>
  </si>
  <si>
    <t>Fixed</t>
  </si>
  <si>
    <t>JD.com</t>
  </si>
  <si>
    <t>Toner(W1334A)</t>
  </si>
  <si>
    <t>Variable</t>
  </si>
  <si>
    <t>7400 pages each</t>
  </si>
  <si>
    <t>paper(500 sheets)</t>
  </si>
  <si>
    <t>195000/500</t>
  </si>
  <si>
    <t>Electricity</t>
  </si>
  <si>
    <t>0.05kW*10400h</t>
  </si>
  <si>
    <t>Manintenance</t>
  </si>
  <si>
    <t>50/year for 5 years</t>
  </si>
  <si>
    <t>TOTAL COST OF OWNERSHIP</t>
  </si>
  <si>
    <t>PRINTER B | EcoTank L6279</t>
  </si>
  <si>
    <t>Black ink bottle</t>
  </si>
  <si>
    <t>4500 pages each</t>
  </si>
  <si>
    <t>paper</t>
  </si>
  <si>
    <t>0.013kW*10400h</t>
  </si>
  <si>
    <t>Printer Replacement</t>
  </si>
  <si>
    <t>assume replace every 2 years</t>
  </si>
  <si>
    <t>5 -Year Cost Projection</t>
  </si>
  <si>
    <t>HP cost per year=paper+electricity+manintenance+consumable item=421.2+30.16+50+294.46=759.82SGD</t>
  </si>
  <si>
    <t>Epson cost per year=421.2+7.842+50+88=567.04SGD</t>
  </si>
  <si>
    <t>Laser (HP)</t>
  </si>
  <si>
    <t>Inkjet(Epson)</t>
  </si>
  <si>
    <t>HP Annual</t>
  </si>
  <si>
    <t>Epson Annual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</si>
</sst>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8"/>
      <color theme="0"/>
      <name val="苹方"/>
      <charset val="134"/>
    </font>
    <font>
      <sz val="18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0"/>
      <name val="苹方"/>
      <charset val="134"/>
    </font>
    <font>
      <sz val="11"/>
      <color theme="1"/>
      <name val="苹方"/>
      <charset val="134"/>
    </font>
    <font>
      <sz val="11"/>
      <name val="苹方"/>
      <charset val="134"/>
    </font>
    <font>
      <sz val="20"/>
      <color theme="0"/>
      <name val="苹方"/>
      <charset val="134"/>
    </font>
    <font>
      <sz val="22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3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1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2" borderId="4" applyNumberFormat="0" applyAlignment="0" applyProtection="0">
      <alignment vertical="center"/>
    </xf>
    <xf numFmtId="0" fontId="18" fillId="13" borderId="5" applyNumberFormat="0" applyAlignment="0" applyProtection="0">
      <alignment vertical="center"/>
    </xf>
    <xf numFmtId="0" fontId="19" fillId="13" borderId="4" applyNumberFormat="0" applyAlignment="0" applyProtection="0">
      <alignment vertical="center"/>
    </xf>
    <xf numFmtId="0" fontId="20" fillId="14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>
      <alignment vertical="center"/>
    </xf>
    <xf numFmtId="0" fontId="5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>
      <alignment vertical="center"/>
    </xf>
    <xf numFmtId="0" fontId="5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>
      <alignment vertical="center"/>
    </xf>
    <xf numFmtId="0" fontId="7" fillId="10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0" fillId="6" borderId="0" xfId="0" applyFill="1">
      <alignment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0" borderId="0" xfId="0" applyFill="1">
      <alignment vertical="center"/>
    </xf>
    <xf numFmtId="0" fontId="0" fillId="0" borderId="0" xfId="0" applyAlignment="1">
      <alignment vertical="center"/>
    </xf>
    <xf numFmtId="0" fontId="0" fillId="6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2"/>
  <sheetViews>
    <sheetView tabSelected="1" workbookViewId="0">
      <selection activeCell="G45" sqref="G45"/>
    </sheetView>
  </sheetViews>
  <sheetFormatPr defaultColWidth="9.23076923076923" defaultRowHeight="16.8"/>
  <cols>
    <col min="3" max="3" width="9.69230769230769"/>
    <col min="6" max="6" width="11"/>
  </cols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s="2"/>
      <c r="B2" s="2"/>
      <c r="C2" s="2"/>
      <c r="D2" s="2"/>
      <c r="E2" s="2"/>
      <c r="F2" s="2"/>
      <c r="G2" s="2"/>
      <c r="H2" s="2"/>
    </row>
    <row r="3" spans="1:8">
      <c r="A3" s="2"/>
      <c r="B3" s="2"/>
      <c r="C3" s="2"/>
      <c r="D3" s="2"/>
      <c r="E3" s="2"/>
      <c r="F3" s="2"/>
      <c r="G3" s="2"/>
      <c r="H3" s="2"/>
    </row>
    <row r="4" spans="1:8">
      <c r="A4" s="3" t="s">
        <v>1</v>
      </c>
      <c r="B4" s="4"/>
      <c r="C4" s="4"/>
      <c r="D4" s="4"/>
      <c r="E4" s="4"/>
      <c r="F4" s="4"/>
      <c r="G4" s="4"/>
      <c r="H4" s="4"/>
    </row>
    <row r="5" spans="1:8">
      <c r="A5" s="4"/>
      <c r="B5" s="4"/>
      <c r="C5" s="4"/>
      <c r="D5" s="4"/>
      <c r="E5" s="4"/>
      <c r="F5" s="4"/>
      <c r="G5" s="4"/>
      <c r="H5" s="4"/>
    </row>
    <row r="6" spans="1:8">
      <c r="A6" s="5" t="s">
        <v>2</v>
      </c>
      <c r="B6" s="6"/>
      <c r="C6" s="7" t="s">
        <v>3</v>
      </c>
      <c r="D6" s="5" t="s">
        <v>4</v>
      </c>
      <c r="E6" s="6"/>
      <c r="F6" s="5" t="s">
        <v>5</v>
      </c>
      <c r="G6" s="6"/>
      <c r="H6" s="6"/>
    </row>
    <row r="7" spans="1:8">
      <c r="A7" s="8" t="s">
        <v>6</v>
      </c>
      <c r="B7" s="9"/>
      <c r="C7" s="10">
        <v>5</v>
      </c>
      <c r="D7" s="11" t="s">
        <v>7</v>
      </c>
      <c r="E7" s="12"/>
      <c r="F7" s="13"/>
      <c r="G7" s="13"/>
      <c r="H7" s="13"/>
    </row>
    <row r="8" spans="1:8">
      <c r="A8" s="8" t="s">
        <v>8</v>
      </c>
      <c r="B8" s="9"/>
      <c r="C8" s="10">
        <v>750</v>
      </c>
      <c r="D8" s="11" t="s">
        <v>9</v>
      </c>
      <c r="E8" s="12"/>
      <c r="F8" s="13"/>
      <c r="G8" s="13"/>
      <c r="H8" s="13"/>
    </row>
    <row r="9" spans="1:8">
      <c r="A9" s="8" t="s">
        <v>10</v>
      </c>
      <c r="B9" s="9"/>
      <c r="C9" s="10">
        <v>40</v>
      </c>
      <c r="D9" s="11" t="s">
        <v>11</v>
      </c>
      <c r="E9" s="12"/>
      <c r="F9" s="13"/>
      <c r="G9" s="13"/>
      <c r="H9" s="13"/>
    </row>
    <row r="10" spans="1:8">
      <c r="A10" s="8" t="s">
        <v>12</v>
      </c>
      <c r="B10" s="9"/>
      <c r="C10" s="10">
        <v>0.29</v>
      </c>
      <c r="D10" s="11" t="s">
        <v>13</v>
      </c>
      <c r="E10" s="12"/>
      <c r="F10" s="13"/>
      <c r="G10" s="13"/>
      <c r="H10" s="13"/>
    </row>
    <row r="11" spans="1:8">
      <c r="A11" s="8" t="s">
        <v>14</v>
      </c>
      <c r="B11" s="9"/>
      <c r="C11" s="10">
        <v>5.4</v>
      </c>
      <c r="D11" s="11" t="s">
        <v>15</v>
      </c>
      <c r="E11" s="12"/>
      <c r="F11" s="14" t="s">
        <v>16</v>
      </c>
      <c r="G11" s="13"/>
      <c r="H11" s="13"/>
    </row>
    <row r="12" spans="1:8">
      <c r="A12" s="8" t="s">
        <v>17</v>
      </c>
      <c r="B12" s="9"/>
      <c r="C12" s="10">
        <v>52</v>
      </c>
      <c r="D12" s="11" t="s">
        <v>18</v>
      </c>
      <c r="E12" s="12"/>
      <c r="F12" s="13"/>
      <c r="G12" s="13"/>
      <c r="H12" s="13"/>
    </row>
    <row r="13" spans="1:8">
      <c r="A13" s="8" t="s">
        <v>19</v>
      </c>
      <c r="B13" s="15"/>
      <c r="C13" s="10">
        <v>195000</v>
      </c>
      <c r="D13" s="11" t="s">
        <v>20</v>
      </c>
      <c r="E13" s="12"/>
      <c r="F13" s="16" t="s">
        <v>21</v>
      </c>
      <c r="G13" s="17"/>
      <c r="H13" s="17"/>
    </row>
    <row r="14" spans="1:8">
      <c r="A14" s="3" t="s">
        <v>22</v>
      </c>
      <c r="B14" s="18"/>
      <c r="C14" s="18"/>
      <c r="D14" s="18"/>
      <c r="E14" s="18"/>
      <c r="F14" s="18"/>
      <c r="G14" s="18"/>
      <c r="H14" s="18"/>
    </row>
    <row r="15" spans="1:8">
      <c r="A15" s="18"/>
      <c r="B15" s="18"/>
      <c r="C15" s="18"/>
      <c r="D15" s="18"/>
      <c r="E15" s="18"/>
      <c r="F15" s="18"/>
      <c r="G15" s="18"/>
      <c r="H15" s="18"/>
    </row>
    <row r="16" spans="1:8">
      <c r="A16" s="5" t="s">
        <v>23</v>
      </c>
      <c r="B16" s="6"/>
      <c r="C16" s="7" t="s">
        <v>24</v>
      </c>
      <c r="D16" s="7" t="s">
        <v>25</v>
      </c>
      <c r="E16" s="7" t="s">
        <v>26</v>
      </c>
      <c r="F16" s="7" t="s">
        <v>27</v>
      </c>
      <c r="G16" s="5" t="s">
        <v>28</v>
      </c>
      <c r="H16" s="6"/>
    </row>
    <row r="17" spans="1:8">
      <c r="A17" s="8" t="s">
        <v>29</v>
      </c>
      <c r="B17" s="15"/>
      <c r="C17" s="19" t="s">
        <v>30</v>
      </c>
      <c r="D17" s="10">
        <v>764</v>
      </c>
      <c r="E17" s="20">
        <v>1</v>
      </c>
      <c r="F17" s="20">
        <f>D17*E17</f>
        <v>764</v>
      </c>
      <c r="G17" s="21" t="s">
        <v>31</v>
      </c>
      <c r="H17" s="22"/>
    </row>
    <row r="18" spans="1:8">
      <c r="A18" s="8" t="s">
        <v>32</v>
      </c>
      <c r="B18" s="15"/>
      <c r="C18" s="19" t="s">
        <v>33</v>
      </c>
      <c r="D18" s="10">
        <v>54.53</v>
      </c>
      <c r="E18" s="20">
        <v>27</v>
      </c>
      <c r="F18" s="20">
        <f>D18*E18</f>
        <v>1472.31</v>
      </c>
      <c r="G18" s="21" t="s">
        <v>34</v>
      </c>
      <c r="H18" s="22"/>
    </row>
    <row r="19" spans="1:8">
      <c r="A19" s="8" t="s">
        <v>35</v>
      </c>
      <c r="B19" s="15"/>
      <c r="C19" s="19" t="s">
        <v>33</v>
      </c>
      <c r="D19" s="10">
        <v>5.4</v>
      </c>
      <c r="E19" s="20">
        <v>390</v>
      </c>
      <c r="F19" s="20">
        <f>D19*E19</f>
        <v>2106</v>
      </c>
      <c r="G19" s="21" t="s">
        <v>36</v>
      </c>
      <c r="H19" s="22"/>
    </row>
    <row r="20" spans="1:8">
      <c r="A20" s="8" t="s">
        <v>37</v>
      </c>
      <c r="B20" s="15"/>
      <c r="C20" s="19" t="s">
        <v>33</v>
      </c>
      <c r="D20" s="10">
        <v>0.29</v>
      </c>
      <c r="E20" s="20">
        <v>520</v>
      </c>
      <c r="F20" s="20">
        <f>0.29*520</f>
        <v>150.8</v>
      </c>
      <c r="G20" s="21" t="s">
        <v>38</v>
      </c>
      <c r="H20" s="22"/>
    </row>
    <row r="21" spans="1:8">
      <c r="A21" s="8" t="s">
        <v>39</v>
      </c>
      <c r="B21" s="15"/>
      <c r="C21" s="19" t="s">
        <v>33</v>
      </c>
      <c r="D21" s="10">
        <v>50</v>
      </c>
      <c r="E21" s="20">
        <v>5</v>
      </c>
      <c r="F21" s="20">
        <f>D21*E21</f>
        <v>250</v>
      </c>
      <c r="G21" s="21" t="s">
        <v>40</v>
      </c>
      <c r="H21" s="22"/>
    </row>
    <row r="22" spans="1:8">
      <c r="A22" s="23" t="s">
        <v>41</v>
      </c>
      <c r="B22" s="24"/>
      <c r="C22" s="24"/>
      <c r="D22" s="24"/>
      <c r="E22" s="24"/>
      <c r="F22" s="25">
        <f>SUM(F17:F21)</f>
        <v>4743.11</v>
      </c>
    </row>
    <row r="24" spans="1:8">
      <c r="A24" s="26" t="s">
        <v>42</v>
      </c>
      <c r="B24" s="27"/>
      <c r="C24" s="27"/>
      <c r="D24" s="27"/>
      <c r="E24" s="27"/>
      <c r="F24" s="27"/>
      <c r="G24" s="27"/>
      <c r="H24" s="27"/>
    </row>
    <row r="25" spans="1:8">
      <c r="A25" s="27"/>
      <c r="B25" s="27"/>
      <c r="C25" s="27"/>
      <c r="D25" s="27"/>
      <c r="E25" s="27"/>
      <c r="F25" s="27"/>
      <c r="G25" s="27"/>
      <c r="H25" s="27"/>
    </row>
    <row r="26" spans="1:8">
      <c r="A26" s="5" t="s">
        <v>23</v>
      </c>
      <c r="B26" s="6"/>
      <c r="C26" s="7" t="s">
        <v>24</v>
      </c>
      <c r="D26" s="7" t="s">
        <v>25</v>
      </c>
      <c r="E26" s="7" t="s">
        <v>26</v>
      </c>
      <c r="F26" s="7" t="s">
        <v>27</v>
      </c>
      <c r="G26" s="5" t="s">
        <v>28</v>
      </c>
      <c r="H26" s="6"/>
    </row>
    <row r="27" spans="1:8">
      <c r="A27" s="8" t="s">
        <v>29</v>
      </c>
      <c r="B27" s="15"/>
      <c r="C27" s="19" t="s">
        <v>30</v>
      </c>
      <c r="D27" s="28">
        <v>439</v>
      </c>
      <c r="E27">
        <v>1</v>
      </c>
      <c r="F27">
        <f>D27*E27</f>
        <v>439</v>
      </c>
      <c r="G27" s="29" t="s">
        <v>31</v>
      </c>
      <c r="H27" s="29"/>
    </row>
    <row r="28" spans="1:8">
      <c r="A28" s="8" t="s">
        <v>43</v>
      </c>
      <c r="B28" s="15"/>
      <c r="C28" s="19" t="s">
        <v>33</v>
      </c>
      <c r="D28" s="28">
        <v>10</v>
      </c>
      <c r="E28">
        <v>44</v>
      </c>
      <c r="F28">
        <f>D28*E28</f>
        <v>440</v>
      </c>
      <c r="G28" s="29" t="s">
        <v>44</v>
      </c>
      <c r="H28" s="29"/>
    </row>
    <row r="29" spans="1:8">
      <c r="A29" s="8" t="s">
        <v>45</v>
      </c>
      <c r="B29" s="15"/>
      <c r="C29" s="19" t="s">
        <v>33</v>
      </c>
      <c r="D29" s="28">
        <v>5.4</v>
      </c>
      <c r="E29">
        <v>390</v>
      </c>
      <c r="F29">
        <f>D29*E29</f>
        <v>2106</v>
      </c>
      <c r="G29" s="29"/>
      <c r="H29" s="29"/>
    </row>
    <row r="30" spans="1:8">
      <c r="A30" s="8" t="s">
        <v>37</v>
      </c>
      <c r="B30" s="15"/>
      <c r="C30" s="19" t="s">
        <v>33</v>
      </c>
      <c r="D30" s="28">
        <v>0.29</v>
      </c>
      <c r="E30">
        <v>135.2</v>
      </c>
      <c r="F30">
        <f>D30*E30</f>
        <v>39.208</v>
      </c>
      <c r="G30" s="29" t="s">
        <v>46</v>
      </c>
      <c r="H30" s="29"/>
    </row>
    <row r="31" spans="1:8">
      <c r="A31" s="8" t="s">
        <v>39</v>
      </c>
      <c r="B31" s="15"/>
      <c r="C31" s="19" t="s">
        <v>33</v>
      </c>
      <c r="D31" s="28">
        <v>50</v>
      </c>
      <c r="E31">
        <v>5</v>
      </c>
      <c r="F31">
        <f>D31*E31</f>
        <v>250</v>
      </c>
      <c r="G31" s="29"/>
      <c r="H31" s="29"/>
    </row>
    <row r="32" spans="1:8">
      <c r="A32" s="30" t="s">
        <v>47</v>
      </c>
      <c r="B32" s="30"/>
      <c r="C32" s="19" t="s">
        <v>33</v>
      </c>
      <c r="D32" s="28">
        <v>439</v>
      </c>
      <c r="E32">
        <v>2</v>
      </c>
      <c r="F32">
        <f>D32*E32</f>
        <v>878</v>
      </c>
      <c r="G32" s="29" t="s">
        <v>48</v>
      </c>
      <c r="H32" s="29"/>
    </row>
    <row r="33" spans="1:20">
      <c r="A33" s="23" t="s">
        <v>41</v>
      </c>
      <c r="B33" s="24"/>
      <c r="C33" s="24"/>
      <c r="D33" s="24"/>
      <c r="E33" s="24"/>
      <c r="F33" s="25">
        <f>SUM(F27:F32)</f>
        <v>4152.208</v>
      </c>
    </row>
    <row r="35" spans="1:20">
      <c r="A35" s="31" t="s">
        <v>49</v>
      </c>
      <c r="B35" s="31"/>
      <c r="C35" s="31"/>
      <c r="D35" s="31"/>
      <c r="E35" s="31"/>
      <c r="F35" s="31"/>
      <c r="G35" s="31"/>
      <c r="H35" s="31"/>
      <c r="I35" s="31"/>
      <c r="K35" s="32" t="s">
        <v>50</v>
      </c>
      <c r="L35" s="32"/>
      <c r="M35" s="32"/>
      <c r="N35" s="32"/>
      <c r="O35" s="32"/>
      <c r="P35" s="32"/>
      <c r="Q35" s="32"/>
      <c r="R35" s="32"/>
      <c r="S35" s="32"/>
      <c r="T35" s="32"/>
    </row>
    <row r="36" spans="1:20">
      <c r="A36" s="31"/>
      <c r="B36" s="31"/>
      <c r="C36" s="31"/>
      <c r="D36" s="31"/>
      <c r="E36" s="31"/>
      <c r="F36" s="31"/>
      <c r="G36" s="31"/>
      <c r="H36" s="31"/>
      <c r="I36" s="31"/>
      <c r="K36" s="32" t="s">
        <v>51</v>
      </c>
      <c r="L36" s="32"/>
      <c r="M36" s="32"/>
      <c r="N36" s="32"/>
      <c r="O36" s="32"/>
      <c r="P36" s="32"/>
      <c r="Q36" s="32"/>
      <c r="R36" s="32"/>
      <c r="S36" s="32"/>
      <c r="T36" s="32"/>
    </row>
    <row r="37" spans="1:20">
      <c r="A37" s="33" t="s">
        <v>7</v>
      </c>
      <c r="B37" s="32" t="s">
        <v>52</v>
      </c>
      <c r="C37" s="32"/>
      <c r="D37" s="32" t="s">
        <v>53</v>
      </c>
      <c r="E37" s="32"/>
      <c r="F37" s="32" t="s">
        <v>54</v>
      </c>
      <c r="G37" s="32"/>
      <c r="H37" s="32" t="s">
        <v>55</v>
      </c>
      <c r="I37" s="32"/>
      <c r="K37" s="34"/>
      <c r="L37" s="34"/>
      <c r="M37" s="34"/>
      <c r="N37" s="34"/>
      <c r="O37" s="34"/>
    </row>
    <row r="38" spans="1:20">
      <c r="A38" s="33">
        <v>1</v>
      </c>
      <c r="B38" s="35">
        <f>764+795.82</f>
        <v>1559.82</v>
      </c>
      <c r="C38" s="35"/>
      <c r="D38" s="35">
        <f>439+567.04</f>
        <v>1006.04</v>
      </c>
      <c r="E38" s="35"/>
      <c r="F38" s="35">
        <v>795.82</v>
      </c>
      <c r="G38" s="35"/>
      <c r="H38" s="35">
        <v>567.04</v>
      </c>
      <c r="I38" s="35"/>
      <c r="K38" s="34"/>
      <c r="L38" s="34"/>
      <c r="M38" s="34"/>
      <c r="N38" s="34"/>
      <c r="O38" s="34"/>
    </row>
    <row r="39" spans="1:20">
      <c r="A39" s="33">
        <v>2</v>
      </c>
      <c r="B39" s="35">
        <f>B38+F38</f>
        <v>2355.64</v>
      </c>
      <c r="C39" s="35"/>
      <c r="D39" s="35">
        <f>D38+H38</f>
        <v>1573.08</v>
      </c>
      <c r="E39" s="35"/>
      <c r="F39" s="35">
        <v>795.82</v>
      </c>
      <c r="G39" s="35"/>
      <c r="H39" s="35">
        <v>567.04</v>
      </c>
      <c r="I39" s="35"/>
      <c r="K39" s="34"/>
      <c r="L39" s="34"/>
      <c r="M39" s="34"/>
      <c r="N39" s="34"/>
      <c r="O39" s="34"/>
    </row>
    <row r="40" spans="1:20">
      <c r="A40" s="33">
        <v>3</v>
      </c>
      <c r="B40" s="35">
        <f>B39+F39</f>
        <v>3151.46</v>
      </c>
      <c r="C40" s="35"/>
      <c r="D40" s="35">
        <f>D39+H39</f>
        <v>2140.12</v>
      </c>
      <c r="E40" s="35"/>
      <c r="F40" s="35">
        <v>795.82</v>
      </c>
      <c r="G40" s="35"/>
      <c r="H40" s="35">
        <v>567.04</v>
      </c>
      <c r="I40" s="35"/>
      <c r="K40" s="34"/>
      <c r="L40" s="34"/>
      <c r="M40" s="34"/>
      <c r="N40" s="34"/>
      <c r="O40" s="34"/>
    </row>
    <row r="41" spans="1:20">
      <c r="A41" s="33">
        <v>4</v>
      </c>
      <c r="B41" s="35">
        <f>B40+F40</f>
        <v>3947.28</v>
      </c>
      <c r="C41" s="35"/>
      <c r="D41" s="35">
        <f>D40+H40</f>
        <v>2707.16</v>
      </c>
      <c r="E41" s="35"/>
      <c r="F41" s="35">
        <v>795.82</v>
      </c>
      <c r="G41" s="35"/>
      <c r="H41" s="35">
        <v>567.04</v>
      </c>
      <c r="I41" s="35"/>
      <c r="K41" s="34"/>
      <c r="L41" s="34"/>
      <c r="M41" s="34"/>
      <c r="N41" s="34"/>
      <c r="O41" s="34"/>
    </row>
    <row r="42" spans="1:20">
      <c r="A42" s="33">
        <v>5</v>
      </c>
      <c r="B42" s="35">
        <f>B41+F41</f>
        <v>4743.1</v>
      </c>
      <c r="C42" s="35"/>
      <c r="D42" s="35">
        <f>D41+H41</f>
        <v>3274.2</v>
      </c>
      <c r="E42" s="35"/>
      <c r="F42" s="35">
        <v>795.82</v>
      </c>
      <c r="G42" s="35"/>
      <c r="H42" s="35">
        <v>567.04</v>
      </c>
      <c r="I42" s="35"/>
    </row>
  </sheetData>
  <mergeCells count="83">
    <mergeCell ref="A6:B6"/>
    <mergeCell ref="D6:E6"/>
    <mergeCell ref="F6:H6"/>
    <mergeCell ref="A7:B7"/>
    <mergeCell ref="D7:E7"/>
    <mergeCell ref="F7:H7"/>
    <mergeCell ref="A8:B8"/>
    <mergeCell ref="D8:E8"/>
    <mergeCell ref="F8:H8"/>
    <mergeCell ref="A9:B9"/>
    <mergeCell ref="D9:E9"/>
    <mergeCell ref="F9:H9"/>
    <mergeCell ref="A10:B10"/>
    <mergeCell ref="D10:E10"/>
    <mergeCell ref="F10:H10"/>
    <mergeCell ref="A11:B11"/>
    <mergeCell ref="D11:E11"/>
    <mergeCell ref="F11:H11"/>
    <mergeCell ref="A12:B12"/>
    <mergeCell ref="D12:E12"/>
    <mergeCell ref="F12:H12"/>
    <mergeCell ref="A13:B13"/>
    <mergeCell ref="D13:E13"/>
    <mergeCell ref="F13:H13"/>
    <mergeCell ref="A16:B16"/>
    <mergeCell ref="G16:H16"/>
    <mergeCell ref="A17:B17"/>
    <mergeCell ref="G17:H17"/>
    <mergeCell ref="A18:B18"/>
    <mergeCell ref="G18:H18"/>
    <mergeCell ref="A19:B19"/>
    <mergeCell ref="G19:H19"/>
    <mergeCell ref="A20:B20"/>
    <mergeCell ref="G20:H20"/>
    <mergeCell ref="A21:B21"/>
    <mergeCell ref="G21:H21"/>
    <mergeCell ref="A22:E22"/>
    <mergeCell ref="A26:B26"/>
    <mergeCell ref="G26:H26"/>
    <mergeCell ref="A27:B27"/>
    <mergeCell ref="G27:H27"/>
    <mergeCell ref="A28:B28"/>
    <mergeCell ref="G28:H28"/>
    <mergeCell ref="A29:B29"/>
    <mergeCell ref="G29:H29"/>
    <mergeCell ref="A30:B30"/>
    <mergeCell ref="G30:H30"/>
    <mergeCell ref="A31:B31"/>
    <mergeCell ref="G31:H31"/>
    <mergeCell ref="A32:B32"/>
    <mergeCell ref="G32:H32"/>
    <mergeCell ref="A33:E33"/>
    <mergeCell ref="K35:T35"/>
    <mergeCell ref="K36:T36"/>
    <mergeCell ref="B37:C37"/>
    <mergeCell ref="D37:E37"/>
    <mergeCell ref="F37:G37"/>
    <mergeCell ref="H37:I37"/>
    <mergeCell ref="B38:C38"/>
    <mergeCell ref="D38:E38"/>
    <mergeCell ref="F38:G38"/>
    <mergeCell ref="H38:I38"/>
    <mergeCell ref="B39:C39"/>
    <mergeCell ref="D39:E39"/>
    <mergeCell ref="F39:G39"/>
    <mergeCell ref="H39:I39"/>
    <mergeCell ref="B40:C40"/>
    <mergeCell ref="D40:E40"/>
    <mergeCell ref="F40:G40"/>
    <mergeCell ref="H40:I40"/>
    <mergeCell ref="B41:C41"/>
    <mergeCell ref="D41:E41"/>
    <mergeCell ref="F41:G41"/>
    <mergeCell ref="H41:I41"/>
    <mergeCell ref="B42:C42"/>
    <mergeCell ref="D42:E42"/>
    <mergeCell ref="F42:G42"/>
    <mergeCell ref="H42:I42"/>
    <mergeCell ref="A1:H3"/>
    <mergeCell ref="A4:H5"/>
    <mergeCell ref="A14:H15"/>
    <mergeCell ref="A24:H25"/>
    <mergeCell ref="A35:I3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shaohuiyang</dc:creator>
  <cp:lastModifiedBy>Bury</cp:lastModifiedBy>
  <dcterms:created xsi:type="dcterms:W3CDTF">2026-04-06T16:15:51Z</dcterms:created>
  <dcterms:modified xsi:type="dcterms:W3CDTF">2026-04-06T17:26:18Z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D91E7828060EF94BB76BD3690545B88F_41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